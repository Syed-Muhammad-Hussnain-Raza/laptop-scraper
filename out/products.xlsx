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WebLAB\Task_2\out\"/>
    </mc:Choice>
  </mc:AlternateContent>
  <xr:revisionPtr revIDLastSave="0" documentId="13_ncr:1_{81857B29-E5CF-48CE-80B0-980F2302EF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<sst xmlns="http://schemas.openxmlformats.org/spreadsheetml/2006/main" count="100" uniqueCount="91">
  <si>
    <t>Title</t>
  </si>
  <si>
    <t>Price</t>
  </si>
  <si>
    <t>Description</t>
  </si>
  <si>
    <t>Image URL</t>
  </si>
  <si>
    <t>Dell Vostro - 3520</t>
  </si>
  <si>
    <t>Rs 109,900.00</t>
  </si>
  <si>
    <t>Intel Core i3 12th Gen  3.3 / 4.4 Ghz, 15.6" Screen, 8 GB RAM, 512 GB SSD, Intel Integrated Graphics, DOS, 3.65 lbs</t>
  </si>
  <si>
    <t>Lenovo IdeaPad Slim 3 - 15IRU8</t>
  </si>
  <si>
    <t>Rs 112,900.00</t>
  </si>
  <si>
    <t>Intel Core i3 13th Gen  3.3 / 4.5 Ghz, 15.6" Screen, 8 GB RAM, 256 GB SSD, Intel Integrated Graphics, DOS, 3.57 lbs</t>
  </si>
  <si>
    <t>HP Notebook 15 - FD0532nia</t>
  </si>
  <si>
    <t>Rs 114,500.00</t>
  </si>
  <si>
    <t>Intel Core i3 13th Gen  3.3 / 4.5 Ghz, 15.6" Screen, 4 GB RAM, 256 GB SSD, Backlit, Intel Integrated Graphics, DOS, 3.5 lbs</t>
  </si>
  <si>
    <t>Dell Vostro 15 - 3530</t>
  </si>
  <si>
    <t>Rs 116,500.00</t>
  </si>
  <si>
    <t>Intel Core i3 13th Gen  1.6 / 4.5 Ghz, 15.6" Screen, 8 GB RAM, 512 GB SSD, Intel Integrated Graphics, DOS, 4.28 lbs</t>
  </si>
  <si>
    <t>Lenovo Ideapad Slim 3 - 15IAN8</t>
  </si>
  <si>
    <t>Rs 117,500.00</t>
  </si>
  <si>
    <t>Intel Core i3 13th Gen  1.8 / 3.8 Ghz, 15.6" Screen, 8 GB RAM, 512 GB SSD, Intel Integrated Graphics, DOS, 3.42 lbs</t>
  </si>
  <si>
    <t>Lenovo V14 G4 IRU</t>
  </si>
  <si>
    <t>Intel Core i3 13th Gen  3.3 / 4.5 Ghz, 14" Screen, 8 GB RAM, 256 GB SSD, Intel Integrated Graphics, DOS, 3.15 lbs</t>
  </si>
  <si>
    <t>HP Notebook 15 - 250 G10 i3</t>
  </si>
  <si>
    <t>Rs 126,500.00</t>
  </si>
  <si>
    <t>Intel Core i3 13th Gen  3.3 / 4.5 Ghz, 15.6" Screen, 8 GB RAM, 512 GB SSD, Intel Integrated Graphics, DOS, 3.35 Ibs</t>
  </si>
  <si>
    <t>HP Notebook 15 - FC0298au : 1y</t>
  </si>
  <si>
    <t>Rs 127,500.00</t>
  </si>
  <si>
    <t>AMD Ryzen 5 Series 7000 15.6" Screen, 8 GB RAM, 512 GB SSD, Backlit, AMD / ATI  Graphics, Windows 11 Home, 3.5 lbs</t>
  </si>
  <si>
    <t>Lenovo IdeaPad Slim 3 - 15IRH8</t>
  </si>
  <si>
    <t>Rs 143,500.00</t>
  </si>
  <si>
    <t>Intel Core i5 13th Gen  3.4 / 4.6 Ghz, 15.6" Screen, 8 GB RAM, 512 GB SSD, Intel Integrated Graphics, DOS, 3.57 lbs</t>
  </si>
  <si>
    <t>Dell Vostro 15 - 3530 i5</t>
  </si>
  <si>
    <t>Rs 149,500.00</t>
  </si>
  <si>
    <t>Intel Core i5 13th Gen  3.4 / 4.6 Ghz, 15.6" Screen, 8 GB RAM, 512 GB SSD, Intel Integrated Graphics, DOS, 4.28 lbs</t>
  </si>
  <si>
    <t>Rs 152,500.00</t>
  </si>
  <si>
    <t>Intel Core i5 13th Gen  3.4 / 4.6 Ghz, 15.6" Screen, 8 GB RAM, 512 GB SSD, Fingerprint, Backlit, Intel Integrated Graphics, DOS, 3.57 lbs</t>
  </si>
  <si>
    <t>Dell Inspiron 15 - 3530 Laptop : 1Y</t>
  </si>
  <si>
    <t>Rs 153,900.00</t>
  </si>
  <si>
    <t>Intel Core i5 13th Gen  3.4 / 4.6 Ghz, 15.6" Screen, 8 GB RAM, 512 GB SSD, Intel Integrated Graphics, DOS, 3.59 lbs</t>
  </si>
  <si>
    <t>HP Notebook 15 - 250 G10</t>
  </si>
  <si>
    <t>Rs 154,500.00</t>
  </si>
  <si>
    <t>Intel Core i5 13th Gen  3.4 / 4.6 Ghz, 15.6" Screen, 8 GB RAM, 512 GB SSD, Intel Integrated Graphics, DOS, 3.5 lbs</t>
  </si>
  <si>
    <t>Dell Vostro 15 - 3530 UG</t>
  </si>
  <si>
    <t>Intel Core i5 13th Gen  3.4 / 4.6 Ghz, 15.6" Screen, 16 GB RAM, 512 GB SSD, Intel Integrated Graphics, Windows 11 Professional, 4.28 lbs</t>
  </si>
  <si>
    <t>Lenovo Ideapad Slim 3 - 15IRU9</t>
  </si>
  <si>
    <t>Rs 154,900.00</t>
  </si>
  <si>
    <t>Intel Core 5 Series 1  1.4 / 5.0 Ghz, 15.6" Screen, 8 GB RAM, 512 GB SSD, TouchScreen, Fingerprint, Backlit, Intel Integrated Graphics, Windows 11 Home, 3.57 lbs</t>
  </si>
  <si>
    <t>HP Notebook 15 - FD0361TU : 1Y</t>
  </si>
  <si>
    <t>Rs 155,900.00</t>
  </si>
  <si>
    <t>Intel Core i5 13th Gen  3.4 / 4.6 Ghz, 15.6" Screen, 8 GB RAM, 512 GB SSD, Backlit, Intel Integrated Graphics, Windows 11 Home, 3.5 lbs</t>
  </si>
  <si>
    <t>Dell Inspiron 15 - 3530 Laptop</t>
  </si>
  <si>
    <t>Rs 157,500.00</t>
  </si>
  <si>
    <t>Intel Core i5 13th Gen  3.4 / 4.6 Ghz, 15.6" Screen, 8 GB RAM, 512 GB SSD, TouchScreen, Intel Integrated Graphics, Windows 11 Home, 3.59 lbs</t>
  </si>
  <si>
    <t>HP Notebook 15 - FD0150wm</t>
  </si>
  <si>
    <t>Rs 159,500.00</t>
  </si>
  <si>
    <t>Intel Core 5 Series 1  1.4 / 5.0 Ghz, 15.6" Screen, 8 GB RAM, 512 GB SSD, TouchScreen, Intel Integrated Graphics, Windows 11 Home, 3.52 lbs</t>
  </si>
  <si>
    <t>Dell Inspiron 14 - 5440 Laptop</t>
  </si>
  <si>
    <t>Intel Core i5 13th Gen  3.4 / 4.6 Ghz, 14" Screen, 8 GB RAM, 512 GB SSD, Backlit, Intel Integrated Graphics, Windows 11 Home, 3.3 lbs</t>
  </si>
  <si>
    <t>Asus ExpertBook - B1402CBA : 1Y</t>
  </si>
  <si>
    <t>Rs 159,900.00</t>
  </si>
  <si>
    <t>Intel Core i5 12th Gen  3.3 / 4.4 Ghz, 14" Screen, 8 GB RAM, 512 GB SSD, Fingerprint, Backlit, Intel Integrated Graphics, DOS, 3.28 lbs</t>
  </si>
  <si>
    <t>Asus ExpertBook - B1502CB : 1Y</t>
  </si>
  <si>
    <t>Intel Core i5 12th Gen  3.3 / 4.4 Ghz, 15.6" Screen, 8 GB RAM, 512 GB SSD, Fingerprint, Backlit, Intel Integrated Graphics, DOS, 3.73 lbs</t>
  </si>
  <si>
    <t>Dell Latitude - 3530 : 1y</t>
  </si>
  <si>
    <t>Rs 164,900.00</t>
  </si>
  <si>
    <t>Intel Core i5 12th Gen  3.3 / 4.4 Ghz, 15.6" Screen, 8 GB RAM, 256 GB SSD, Fingerprint, Backlit, Intel Integrated Graphics, DOS, 3.94 Ibs</t>
  </si>
  <si>
    <t>Lenovo Ideapad Slim 3 - 15IRH10</t>
  </si>
  <si>
    <t>Rs 169,500.00</t>
  </si>
  <si>
    <t>Intel Core i7 13th Gen  3.6 / 4.9 Ghz, 15.3" Screen, 8 GB RAM, 512 GB SSD, Intel Integrated Graphics, DOS, 3.51 lbs</t>
  </si>
  <si>
    <t>HP OmniBook 5 Flip 2-in-1 14 - FP0013dx</t>
  </si>
  <si>
    <t>Rs 184,500.00</t>
  </si>
  <si>
    <t>Intel Core 5 Series 1  1.4 / 5.0 Ghz, 14" Screen, 8 GB RAM, 512 GB SSD, TouchScreen, Backlit, Intel Integrated Graphics, Windows 11 Home, 3.58 lbs</t>
  </si>
  <si>
    <t>HP Notebook 15 - FD0458nia</t>
  </si>
  <si>
    <t>Rs 174,500.00</t>
  </si>
  <si>
    <t>Intel Core i7 12th Gen  3.5 / 4.7 Ghz, 15.6" Screen, 8 GB RAM, 512 GB SSD, Backlit, Intel Integrated Graphics, DOS, 3.7 lbs</t>
  </si>
  <si>
    <t>Dell Latitude 3540 : 1y</t>
  </si>
  <si>
    <t>Rs 177,900.00</t>
  </si>
  <si>
    <t>Intel Core i5 13th Gen  3.4 / 4.6 Ghz, 15.6" Screen, 8 GB RAM, 512 GB SSD, Fingerprint, Backlit, Intel Integrated Graphics, DOS, 3.99 lbs</t>
  </si>
  <si>
    <t>Dell Vostro 15 - 3530 i7</t>
  </si>
  <si>
    <t>Rs 179,500.00</t>
  </si>
  <si>
    <t>Intel Core i7 13th Gen  3.7 / 5.0 Ghz, 15.6" Screen, 8 GB RAM, 512 GB SSD, Intel Integrated Graphics, DOS, 4.28 lbs</t>
  </si>
  <si>
    <t>Lenovo Ideapad Slim 3 - 15IRH8</t>
  </si>
  <si>
    <t>Intel Core i7 13th Gen  3.6 / 4.9 Ghz, 15.6" Screen, 16 GB RAM, 512 GB SSD, Fingerprint, Backlit, Intel Integrated Graphics, DOS, 3.57 lbs</t>
  </si>
  <si>
    <t>HP ProBook 450 G10 i5 : 1y</t>
  </si>
  <si>
    <t>Rs 189,500.00</t>
  </si>
  <si>
    <t>Intel Core i5 13th Gen  3.4 / 4.6 Ghz, 15.6" Screen, 8 GB RAM, 512 GB SSD, Fingerprint, Backlit, Intel Integrated Graphics, DOS, 3.83 lbs</t>
  </si>
  <si>
    <t>HP ProBook 460 G11</t>
  </si>
  <si>
    <t>Rs 209,900.00</t>
  </si>
  <si>
    <t>Intel Core Ultra 5 Series 1  1.3 / 4.3 Ghz, 16.1" Screen, 16 GB RAM, 512 GB SSD, Fingerprint, Backlit, Intel Integrated Graphics, DOS, 3.83 lbs</t>
  </si>
  <si>
    <t>Intel Core i5 13th Gen  3.4 / 4.6 Ghz, 15.6" Screen, 8 GB RAM, 512 GB SSD, Backlit, Intel Integrated Graphics, Windows 11 Home, 3.59 lbs</t>
  </si>
  <si>
    <t>HP Notebook 15 - FD0558nia</t>
  </si>
  <si>
    <t>Intel Core i7 13th Gen  3.7 / 5.0 Ghz, 15.6" Screen, 8 GB RAM, 512 GB SSD, Backlit, Intel Integrated Graphics, DOS, 3.7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</si>
</sst>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29" sqref="D29"/>
    </sheetView>
  </sheetViews>
  <sheetFormatPr defaultRowHeight="15" x14ac:dyDescent="0.25"/>
  <cols>
    <col min="1" max="1" width="41" customWidth="1"/>
    <col min="2" max="2" width="15" customWidth="1"/>
    <col min="3" max="3" width="163" customWidth="1"/>
    <col min="4" max="4" width="28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tr">
        <f>HYPERLINK("https://myshop.pk/pub/media/catalog/product/cache/badc1d10053babad93ba2ef2941284a4/_/d/_dell_vostro_-myshop-pk-6_3_censored_1_.jpg", "https://myshop.pk/pub/media/catalog/product/cache/badc1d10053babad93ba2ef2941284a4/_/d/_dell_vostro_-myshop-pk-6_3_censored_1_.jpg")</f>
        <v>https://myshop.pk/pub/media/catalog/product/cache/badc1d10053babad93ba2ef2941284a4/_/d/_dell_vostro_-myshop-pk-6_3_censored_1_.jpg</v>
      </c>
    </row>
    <row r="3" spans="1:4" x14ac:dyDescent="0.25">
      <c r="A3" t="s">
        <v>7</v>
      </c>
      <c r="B3" t="s">
        <v>8</v>
      </c>
      <c r="C3" t="s">
        <v>9</v>
      </c>
      <c r="D3" t="str">
        <f>HYPERLINK("https://myshop.pk/pub/media/catalog/product/cache/badc1d10053babad93ba2ef2941284a4/_/i/_ideapad_15iu8_-myshop-pk-1.jpg", "https://myshop.pk/pub/media/catalog/product/cache/badc1d10053babad93ba2ef2941284a4/_/i/_ideapad_15iu8_-myshop-pk-1.jpg")</f>
        <v>https://myshop.pk/pub/media/catalog/product/cache/badc1d10053babad93ba2ef2941284a4/_/i/_ideapad_15iu8_-myshop-pk-1.jpg</v>
      </c>
    </row>
    <row r="4" spans="1:4" x14ac:dyDescent="0.25">
      <c r="A4" t="s">
        <v>10</v>
      </c>
      <c r="B4" t="s">
        <v>11</v>
      </c>
      <c r="C4" t="s">
        <v>12</v>
      </c>
      <c r="D4" t="str">
        <f>HYPERLINK("https://myshop.pk/pub/media/catalog/product/cache/badc1d10053babad93ba2ef2941284a4/_/h/_hp-fd0532_-myshop-pk-4.jpg", "https://myshop.pk/pub/media/catalog/product/cache/badc1d10053babad93ba2ef2941284a4/_/h/_hp-fd0532_-myshop-pk-4.jpg")</f>
        <v>https://myshop.pk/pub/media/catalog/product/cache/badc1d10053babad93ba2ef2941284a4/_/h/_hp-fd0532_-myshop-pk-4.jpg</v>
      </c>
    </row>
    <row r="5" spans="1:4" x14ac:dyDescent="0.25">
      <c r="A5" t="s">
        <v>13</v>
      </c>
      <c r="B5" t="s">
        <v>14</v>
      </c>
      <c r="C5" t="s">
        <v>15</v>
      </c>
      <c r="D5" t="str">
        <f>HYPERLINK("https://myshop.pk/pub/media/catalog/product/cache/badc1d10053babad93ba2ef2941284a4/_/d/_dell_-myshop-pk-3te410s_2_2_4.jpg", "https://myshop.pk/pub/media/catalog/product/cache/badc1d10053babad93ba2ef2941284a4/_/d/_dell_-myshop-pk-3te410s_2_2_4.jpg")</f>
        <v>https://myshop.pk/pub/media/catalog/product/cache/badc1d10053babad93ba2ef2941284a4/_/d/_dell_-myshop-pk-3te410s_2_2_4.jpg</v>
      </c>
    </row>
    <row r="6" spans="1:4" x14ac:dyDescent="0.25">
      <c r="A6" t="s">
        <v>16</v>
      </c>
      <c r="B6" t="s">
        <v>17</v>
      </c>
      <c r="C6" t="s">
        <v>18</v>
      </c>
      <c r="D6" t="str">
        <f>HYPERLINK("https://myshop.pk/pub/media/catalog/product/cache/badc1d10053babad93ba2ef2941284a4/_/l/_lenovo_-myshop-pk-3te410s_1.jpg", "https://myshop.pk/pub/media/catalog/product/cache/badc1d10053babad93ba2ef2941284a4/_/l/_lenovo_-myshop-pk-3te410s_1.jpg")</f>
        <v>https://myshop.pk/pub/media/catalog/product/cache/badc1d10053babad93ba2ef2941284a4/_/l/_lenovo_-myshop-pk-3te410s_1.jpg</v>
      </c>
    </row>
    <row r="7" spans="1:4" x14ac:dyDescent="0.25">
      <c r="A7" t="s">
        <v>19</v>
      </c>
      <c r="B7" t="s">
        <v>17</v>
      </c>
      <c r="C7" t="s">
        <v>20</v>
      </c>
      <c r="D7" t="str">
        <f>HYPERLINK("https://myshop.pk/pub/media/catalog/product/cache/badc1d10053babad93ba2ef2941284a4/_/h/_hp-v14_-myshop-pk-6.jpg", "https://myshop.pk/pub/media/catalog/product/cache/badc1d10053babad93ba2ef2941284a4/_/h/_hp-v14_-myshop-pk-6.jpg")</f>
        <v>https://myshop.pk/pub/media/catalog/product/cache/badc1d10053babad93ba2ef2941284a4/_/h/_hp-v14_-myshop-pk-6.jpg</v>
      </c>
    </row>
    <row r="8" spans="1:4" x14ac:dyDescent="0.25">
      <c r="A8" t="s">
        <v>21</v>
      </c>
      <c r="B8" t="s">
        <v>22</v>
      </c>
      <c r="C8" t="s">
        <v>23</v>
      </c>
      <c r="D8" t="str">
        <f>HYPERLINK("https://myshop.pk/pub/media/catalog/product/cache/badc1d10053babad93ba2ef2941284a4/_/h/_hp-250-g10_-myshop-pk-4_2.jpg", "https://myshop.pk/pub/media/catalog/product/cache/badc1d10053babad93ba2ef2941284a4/_/h/_hp-250-g10_-myshop-pk-4_2.jpg")</f>
        <v>https://myshop.pk/pub/media/catalog/product/cache/badc1d10053babad93ba2ef2941284a4/_/h/_hp-250-g10_-myshop-pk-4_2.jpg</v>
      </c>
    </row>
    <row r="9" spans="1:4" x14ac:dyDescent="0.25">
      <c r="A9" t="s">
        <v>24</v>
      </c>
      <c r="B9" t="s">
        <v>25</v>
      </c>
      <c r="C9" t="s">
        <v>26</v>
      </c>
      <c r="D9" t="str">
        <f>HYPERLINK("https://myshop.pk/pub/media/catalog/product/cache/badc1d10053babad93ba2ef2941284a4/_/h/_hp-fd_-myshop-pk-1_1.jpg", "https://myshop.pk/pub/media/catalog/product/cache/badc1d10053babad93ba2ef2941284a4/_/h/_hp-fd_-myshop-pk-1_1.jpg")</f>
        <v>https://myshop.pk/pub/media/catalog/product/cache/badc1d10053babad93ba2ef2941284a4/_/h/_hp-fd_-myshop-pk-1_1.jpg</v>
      </c>
    </row>
    <row r="10" spans="1:4" x14ac:dyDescent="0.25">
      <c r="A10" t="s">
        <v>27</v>
      </c>
      <c r="B10" t="s">
        <v>28</v>
      </c>
      <c r="C10" t="s">
        <v>29</v>
      </c>
      <c r="D10" t="str">
        <f>HYPERLINK("https://myshop.pk/pub/media/catalog/product/cache/badc1d10053babad93ba2ef2941284a4/l/e/lenovo_ideapad_slim_3-myshop-pk-5_2.jpg", "https://myshop.pk/pub/media/catalog/product/cache/badc1d10053babad93ba2ef2941284a4/l/e/lenovo_ideapad_slim_3-myshop-pk-5_2.jpg")</f>
        <v>https://myshop.pk/pub/media/catalog/product/cache/badc1d10053babad93ba2ef2941284a4/l/e/lenovo_ideapad_slim_3-myshop-pk-5_2.jpg</v>
      </c>
    </row>
    <row r="11" spans="1:4" x14ac:dyDescent="0.25">
      <c r="A11" t="s">
        <v>30</v>
      </c>
      <c r="B11" t="s">
        <v>31</v>
      </c>
      <c r="C11" t="s">
        <v>32</v>
      </c>
      <c r="D11" t="str">
        <f>HYPERLINK("https://myshop.pk/pub/media/catalog/product/cache/badc1d10053babad93ba2ef2941284a4/_/d/_dell_-myshop-pk-3te410s_2_2_1.jpg", "https://myshop.pk/pub/media/catalog/product/cache/badc1d10053babad93ba2ef2941284a4/_/d/_dell_-myshop-pk-3te410s_2_2_1.jpg")</f>
        <v>https://myshop.pk/pub/media/catalog/product/cache/badc1d10053babad93ba2ef2941284a4/_/d/_dell_-myshop-pk-3te410s_2_2_1.jpg</v>
      </c>
    </row>
    <row r="12" spans="1:4" x14ac:dyDescent="0.25">
      <c r="A12" t="s">
        <v>27</v>
      </c>
      <c r="B12" t="s">
        <v>33</v>
      </c>
      <c r="C12" t="s">
        <v>34</v>
      </c>
      <c r="D12" t="str">
        <f>HYPERLINK("https://myshop.pk/pub/media/catalog/product/cache/badc1d10053babad93ba2ef2941284a4/l/e/lenovo_ideapad_slim_3-myshop-pk-5.jpg", "https://myshop.pk/pub/media/catalog/product/cache/badc1d10053babad93ba2ef2941284a4/l/e/lenovo_ideapad_slim_3-myshop-pk-5.jpg")</f>
        <v>https://myshop.pk/pub/media/catalog/product/cache/badc1d10053babad93ba2ef2941284a4/l/e/lenovo_ideapad_slim_3-myshop-pk-5.jpg</v>
      </c>
    </row>
    <row r="13" spans="1:4" x14ac:dyDescent="0.25">
      <c r="A13" t="s">
        <v>35</v>
      </c>
      <c r="B13" t="s">
        <v>36</v>
      </c>
      <c r="C13" t="s">
        <v>37</v>
      </c>
      <c r="D13" t="str">
        <f>HYPERLINK("https://myshop.pk/pub/media/catalog/product/cache/badc1d10053babad93ba2ef2941284a4/d/e/dell_myshop-pk-5_6_1_3_1.jpg", "https://myshop.pk/pub/media/catalog/product/cache/badc1d10053babad93ba2ef2941284a4/d/e/dell_myshop-pk-5_6_1_3_1.jpg")</f>
        <v>https://myshop.pk/pub/media/catalog/product/cache/badc1d10053babad93ba2ef2941284a4/d/e/dell_myshop-pk-5_6_1_3_1.jpg</v>
      </c>
    </row>
    <row r="14" spans="1:4" x14ac:dyDescent="0.25">
      <c r="A14" t="s">
        <v>38</v>
      </c>
      <c r="B14" t="s">
        <v>39</v>
      </c>
      <c r="C14" t="s">
        <v>40</v>
      </c>
      <c r="D14" t="str">
        <f>HYPERLINK("https://myshop.pk/pub/media/catalog/product/cache/badc1d10053babad93ba2ef2941284a4/_/h/_hp-250g10_-myshop-pk-3.jpg", "https://myshop.pk/pub/media/catalog/product/cache/badc1d10053babad93ba2ef2941284a4/_/h/_hp-250g10_-myshop-pk-3.jpg")</f>
        <v>https://myshop.pk/pub/media/catalog/product/cache/badc1d10053babad93ba2ef2941284a4/_/h/_hp-250g10_-myshop-pk-3.jpg</v>
      </c>
    </row>
    <row r="15" spans="1:4" x14ac:dyDescent="0.25">
      <c r="A15" t="s">
        <v>41</v>
      </c>
      <c r="B15" t="s">
        <v>39</v>
      </c>
      <c r="C15" t="s">
        <v>42</v>
      </c>
      <c r="D15" t="str">
        <f>HYPERLINK("https://myshop.pk/pub/media/catalog/product/cache/badc1d10053babad93ba2ef2941284a4/_/d/_dell_-vostro_-myshop-pk-3.jpg", "https://myshop.pk/pub/media/catalog/product/cache/badc1d10053babad93ba2ef2941284a4/_/d/_dell_-vostro_-myshop-pk-3.jpg")</f>
        <v>https://myshop.pk/pub/media/catalog/product/cache/badc1d10053babad93ba2ef2941284a4/_/d/_dell_-vostro_-myshop-pk-3.jpg</v>
      </c>
    </row>
    <row r="16" spans="1:4" x14ac:dyDescent="0.25">
      <c r="A16" t="s">
        <v>43</v>
      </c>
      <c r="B16" t="s">
        <v>44</v>
      </c>
      <c r="C16" t="s">
        <v>45</v>
      </c>
      <c r="D16" t="str">
        <f>HYPERLINK("https://myshop.pk/pub/media/catalog/product/cache/badc1d10053babad93ba2ef2941284a4/_/l/_lenovo-83e6_-myshop-pk-2.jpg", "https://myshop.pk/pub/media/catalog/product/cache/badc1d10053babad93ba2ef2941284a4/_/l/_lenovo-83e6_-myshop-pk-2.jpg")</f>
        <v>https://myshop.pk/pub/media/catalog/product/cache/badc1d10053babad93ba2ef2941284a4/_/l/_lenovo-83e6_-myshop-pk-2.jpg</v>
      </c>
    </row>
    <row r="17" spans="1:4" x14ac:dyDescent="0.25">
      <c r="A17" t="s">
        <v>46</v>
      </c>
      <c r="B17" t="s">
        <v>47</v>
      </c>
      <c r="C17" t="s">
        <v>48</v>
      </c>
      <c r="D17" t="str">
        <f>HYPERLINK("https://myshop.pk/pub/media/catalog/product/cache/badc1d10053babad93ba2ef2941284a4/_/h/_hp-fd036tu_-myshop-pk-5.jpg", "https://myshop.pk/pub/media/catalog/product/cache/badc1d10053babad93ba2ef2941284a4/_/h/_hp-fd036tu_-myshop-pk-5.jpg")</f>
        <v>https://myshop.pk/pub/media/catalog/product/cache/badc1d10053babad93ba2ef2941284a4/_/h/_hp-fd036tu_-myshop-pk-5.jpg</v>
      </c>
    </row>
    <row r="18" spans="1:4" x14ac:dyDescent="0.25">
      <c r="A18" t="s">
        <v>49</v>
      </c>
      <c r="B18" t="s">
        <v>50</v>
      </c>
      <c r="C18" t="s">
        <v>51</v>
      </c>
      <c r="D18" t="str">
        <f>HYPERLINK("https://myshop.pk/pub/media/catalog/product/cache/badc1d10053babad93ba2ef2941284a4/d/e/dell_myshop-pk-5_6_1.jpg", "https://myshop.pk/pub/media/catalog/product/cache/badc1d10053babad93ba2ef2941284a4/d/e/dell_myshop-pk-5_6_1.jpg")</f>
        <v>https://myshop.pk/pub/media/catalog/product/cache/badc1d10053babad93ba2ef2941284a4/d/e/dell_myshop-pk-5_6_1.jpg</v>
      </c>
    </row>
    <row r="19" spans="1:4" x14ac:dyDescent="0.25">
      <c r="A19" t="s">
        <v>52</v>
      </c>
      <c r="B19" t="s">
        <v>53</v>
      </c>
      <c r="C19" t="s">
        <v>54</v>
      </c>
      <c r="D19" t="str">
        <f>HYPERLINK("https://myshop.pk/pub/media/catalog/product/cache/badc1d10053babad93ba2ef2941284a4/_/f/_fd0150wm_-myshop-pk-1_1.jpg", "https://myshop.pk/pub/media/catalog/product/cache/badc1d10053babad93ba2ef2941284a4/_/f/_fd0150wm_-myshop-pk-1_1.jpg")</f>
        <v>https://myshop.pk/pub/media/catalog/product/cache/badc1d10053babad93ba2ef2941284a4/_/f/_fd0150wm_-myshop-pk-1_1.jpg</v>
      </c>
    </row>
    <row r="20" spans="1:4" x14ac:dyDescent="0.25">
      <c r="A20" t="s">
        <v>55</v>
      </c>
      <c r="B20" t="s">
        <v>53</v>
      </c>
      <c r="C20" t="s">
        <v>56</v>
      </c>
      <c r="D20" t="str">
        <f>HYPERLINK("https://myshop.pk/pub/media/catalog/product/cache/badc1d10053babad93ba2ef2941284a4/_/d/_dell-5440-2_-myshop-pk-1.jpg", "https://myshop.pk/pub/media/catalog/product/cache/badc1d10053babad93ba2ef2941284a4/_/d/_dell-5440-2_-myshop-pk-1.jpg")</f>
        <v>https://myshop.pk/pub/media/catalog/product/cache/badc1d10053babad93ba2ef2941284a4/_/d/_dell-5440-2_-myshop-pk-1.jpg</v>
      </c>
    </row>
    <row r="21" spans="1:4" x14ac:dyDescent="0.25">
      <c r="A21" t="s">
        <v>57</v>
      </c>
      <c r="B21" t="s">
        <v>58</v>
      </c>
      <c r="C21" t="s">
        <v>59</v>
      </c>
      <c r="D21" t="str">
        <f>HYPERLINK("https://myshop.pk/pub/media/catalog/product/cache/badc1d10053babad93ba2ef2941284a4/a/s/asus_myshop-pk-1_121.jpg", "https://myshop.pk/pub/media/catalog/product/cache/badc1d10053babad93ba2ef2941284a4/a/s/asus_myshop-pk-1_121.jpg")</f>
        <v>https://myshop.pk/pub/media/catalog/product/cache/badc1d10053babad93ba2ef2941284a4/a/s/asus_myshop-pk-1_121.jpg</v>
      </c>
    </row>
    <row r="22" spans="1:4" x14ac:dyDescent="0.25">
      <c r="A22" t="s">
        <v>60</v>
      </c>
      <c r="B22" t="s">
        <v>58</v>
      </c>
      <c r="C22" t="s">
        <v>61</v>
      </c>
      <c r="D22" t="str">
        <f>HYPERLINK("https://myshop.pk/pub/media/catalog/product/cache/badc1d10053babad93ba2ef2941284a4/a/s/asus_myshop-pk-1_61.jpg", "https://myshop.pk/pub/media/catalog/product/cache/badc1d10053babad93ba2ef2941284a4/a/s/asus_myshop-pk-1_61.jpg")</f>
        <v>https://myshop.pk/pub/media/catalog/product/cache/badc1d10053babad93ba2ef2941284a4/a/s/asus_myshop-pk-1_61.jpg</v>
      </c>
    </row>
    <row r="23" spans="1:4" x14ac:dyDescent="0.25">
      <c r="A23" t="s">
        <v>62</v>
      </c>
      <c r="B23" t="s">
        <v>63</v>
      </c>
      <c r="C23" t="s">
        <v>64</v>
      </c>
      <c r="D23" t="str">
        <f>HYPERLINK("https://myshop.pk/pub/media/catalog/product/cache/badc1d10053babad93ba2ef2941284a4/d/e/dell_myshop-pk-3_9_1.jpg", "https://myshop.pk/pub/media/catalog/product/cache/badc1d10053babad93ba2ef2941284a4/d/e/dell_myshop-pk-3_9_1.jpg")</f>
        <v>https://myshop.pk/pub/media/catalog/product/cache/badc1d10053babad93ba2ef2941284a4/d/e/dell_myshop-pk-3_9_1.jpg</v>
      </c>
    </row>
    <row r="24" spans="1:4" x14ac:dyDescent="0.25">
      <c r="A24" t="s">
        <v>65</v>
      </c>
      <c r="B24" t="s">
        <v>66</v>
      </c>
      <c r="C24" t="s">
        <v>67</v>
      </c>
      <c r="D24" t="str">
        <f>HYPERLINK("https://myshop.pk/pub/media/catalog/product/cache/badc1d10053babad93ba2ef2941284a4/_/1/_154irh10_-myshop-pk-5.jpg", "https://myshop.pk/pub/media/catalog/product/cache/badc1d10053babad93ba2ef2941284a4/_/1/_154irh10_-myshop-pk-5.jpg")</f>
        <v>https://myshop.pk/pub/media/catalog/product/cache/badc1d10053babad93ba2ef2941284a4/_/1/_154irh10_-myshop-pk-5.jpg</v>
      </c>
    </row>
    <row r="25" spans="1:4" x14ac:dyDescent="0.25">
      <c r="A25" t="s">
        <v>68</v>
      </c>
      <c r="B25" t="s">
        <v>69</v>
      </c>
      <c r="C25" t="s">
        <v>70</v>
      </c>
      <c r="D25" t="str">
        <f>HYPERLINK("https://myshop.pk/pub/media/catalog/product/cache/badc1d10053babad93ba2ef2941284a4/_/h/_hp-fp0013_-myshop-pk-3.jpg", "https://myshop.pk/pub/media/catalog/product/cache/badc1d10053babad93ba2ef2941284a4/_/h/_hp-fp0013_-myshop-pk-3.jpg")</f>
        <v>https://myshop.pk/pub/media/catalog/product/cache/badc1d10053babad93ba2ef2941284a4/_/h/_hp-fp0013_-myshop-pk-3.jpg</v>
      </c>
    </row>
    <row r="26" spans="1:4" x14ac:dyDescent="0.25">
      <c r="A26" t="s">
        <v>71</v>
      </c>
      <c r="B26" t="s">
        <v>72</v>
      </c>
      <c r="C26" t="s">
        <v>73</v>
      </c>
      <c r="D26" t="str">
        <f>HYPERLINK("https://myshop.pk/pub/media/catalog/product/cache/badc1d10053babad93ba2ef2941284a4/_/b/_b02hx_-myshop-pk-3.jpg", "https://myshop.pk/pub/media/catalog/product/cache/badc1d10053babad93ba2ef2941284a4/_/b/_b02hx_-myshop-pk-3.jpg")</f>
        <v>https://myshop.pk/pub/media/catalog/product/cache/badc1d10053babad93ba2ef2941284a4/_/b/_b02hx_-myshop-pk-3.jpg</v>
      </c>
    </row>
    <row r="27" spans="1:4" x14ac:dyDescent="0.25">
      <c r="A27" t="s">
        <v>74</v>
      </c>
      <c r="B27" t="s">
        <v>75</v>
      </c>
      <c r="C27" t="s">
        <v>76</v>
      </c>
      <c r="D27" t="str">
        <f>HYPERLINK("https://myshop.pk/pub/media/catalog/product/cache/badc1d10053babad93ba2ef2941284a4/_/d/_dell_-myshop-pk-4_4_1.jpg", "https://myshop.pk/pub/media/catalog/product/cache/badc1d10053babad93ba2ef2941284a4/_/d/_dell_-myshop-pk-4_4_1.jpg")</f>
        <v>https://myshop.pk/pub/media/catalog/product/cache/badc1d10053babad93ba2ef2941284a4/_/d/_dell_-myshop-pk-4_4_1.jpg</v>
      </c>
    </row>
    <row r="28" spans="1:4" x14ac:dyDescent="0.25">
      <c r="A28" t="s">
        <v>77</v>
      </c>
      <c r="B28" t="s">
        <v>78</v>
      </c>
      <c r="C28" t="s">
        <v>79</v>
      </c>
      <c r="D28" t="str">
        <f>HYPERLINK("https://myshop.pk/pub/media/catalog/product/cache/badc1d10053babad93ba2ef2941284a4/_/d/_dell_-myshop-pk-3te410s_2_2.jpg", "https://myshop.pk/pub/media/catalog/product/cache/badc1d10053babad93ba2ef2941284a4/_/d/_dell_-myshop-pk-3te410s_2_2.jpg")</f>
        <v>https://myshop.pk/pub/media/catalog/product/cache/badc1d10053babad93ba2ef2941284a4/_/d/_dell_-myshop-pk-3te410s_2_2.jpg</v>
      </c>
    </row>
    <row r="29" spans="1:4" x14ac:dyDescent="0.25">
      <c r="A29" t="s">
        <v>80</v>
      </c>
      <c r="B29" t="s">
        <v>78</v>
      </c>
      <c r="C29" t="s">
        <v>81</v>
      </c>
      <c r="D29" t="str">
        <f>HYPERLINK("https://myshop.pk/pub/media/catalog/product/cache/badc1d10053babad93ba2ef2941284a4/_/l/_lip_-myshop-pk-3.jpg", "https://myshop.pk/pub/media/catalog/product/cache/badc1d10053babad93ba2ef2941284a4/_/l/_lip_-myshop-pk-3.jpg")</f>
        <v>https://myshop.pk/pub/media/catalog/product/cache/badc1d10053babad93ba2ef2941284a4/_/l/_lip_-myshop-pk-3.jpg</v>
      </c>
    </row>
    <row r="30" spans="1:4" x14ac:dyDescent="0.25">
      <c r="A30" t="s">
        <v>82</v>
      </c>
      <c r="B30" t="s">
        <v>83</v>
      </c>
      <c r="C30" t="s">
        <v>84</v>
      </c>
      <c r="D30" t="str">
        <f>HYPERLINK("https://myshop.pk/pub/media/catalog/product/cache/badc1d10053babad93ba2ef2941284a4/c/0/c08089854-myshop-pk-2_1_1.jpg", "https://myshop.pk/pub/media/catalog/product/cache/badc1d10053babad93ba2ef2941284a4/c/0/c08089854-myshop-pk-2_1_1.jpg")</f>
        <v>https://myshop.pk/pub/media/catalog/product/cache/badc1d10053babad93ba2ef2941284a4/c/0/c08089854-myshop-pk-2_1_1.jpg</v>
      </c>
    </row>
    <row r="31" spans="1:4" x14ac:dyDescent="0.25">
      <c r="A31" t="s">
        <v>85</v>
      </c>
      <c r="B31" t="s">
        <v>86</v>
      </c>
      <c r="C31" t="s">
        <v>87</v>
      </c>
      <c r="D31" t="str">
        <f>HYPERLINK("https://myshop.pk/pub/media/catalog/product/cache/badc1d10053babad93ba2ef2941284a4/_/h/_hp_-myshop-pk-5_7_2_1_1.jpg", "https://myshop.pk/pub/media/catalog/product/cache/badc1d10053babad93ba2ef2941284a4/_/h/_hp_-myshop-pk-5_7_2_1_1.jpg")</f>
        <v>https://myshop.pk/pub/media/catalog/product/cache/badc1d10053babad93ba2ef2941284a4/_/h/_hp_-myshop-pk-5_7_2_1_1.jpg</v>
      </c>
    </row>
    <row r="32" spans="1:4" x14ac:dyDescent="0.25">
      <c r="A32" t="s">
        <v>35</v>
      </c>
      <c r="B32" t="s">
        <v>83</v>
      </c>
      <c r="C32" t="s">
        <v>88</v>
      </c>
      <c r="D32" t="str">
        <f>HYPERLINK("https://myshop.pk/pub/media/catalog/product/cache/badc1d10053babad93ba2ef2941284a4/d/e/dell_myshop-pk-5_6_1_3.jpg", "https://myshop.pk/pub/media/catalog/product/cache/badc1d10053babad93ba2ef2941284a4/d/e/dell_myshop-pk-5_6_1_3.jpg")</f>
        <v>https://myshop.pk/pub/media/catalog/product/cache/badc1d10053babad93ba2ef2941284a4/d/e/dell_myshop-pk-5_6_1_3.jpg</v>
      </c>
    </row>
    <row r="33" spans="1:4" x14ac:dyDescent="0.25">
      <c r="A33" t="s">
        <v>89</v>
      </c>
      <c r="B33" t="s">
        <v>83</v>
      </c>
      <c r="C33" t="s">
        <v>90</v>
      </c>
      <c r="D33" t="str">
        <f>HYPERLINK("https://myshop.pk/pub/media/catalog/product/cache/badc1d10053babad93ba2ef2941284a4/_/b/_bl8pea_-myshop-pk-3.jpg", "https://myshop.pk/pub/media/catalog/product/cache/badc1d10053babad93ba2ef2941284a4/_/b/_bl8pea_-myshop-pk-3.jpg")</f>
        <v>https://myshop.pk/pub/media/catalog/product/cache/badc1d10053babad93ba2ef2941284a4/_/b/_bl8pea_-myshop-pk-3.jpg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M. Hussnain Raza</cp:lastModifiedBy>
  <dcterms:created xsi:type="dcterms:W3CDTF">2025-09-23T19:12:24Z</dcterms:created>
  <dcterms:modified xsi:type="dcterms:W3CDTF">2025-09-23T19:13:24Z</dcterms:modified>
</cp:coreProperties>
</file>